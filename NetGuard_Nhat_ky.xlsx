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a30c5583f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 cao" sheetId="1" r:id="Rbf9aadae73104e53"/>
    <x:sheet xmlns:r="http://schemas.openxmlformats.org/officeDocument/2006/relationships" name="Nhat ky he thong" sheetId="2" r:id="Rd9b9f57c3618408f"/>
    <x:sheet xmlns:r="http://schemas.openxmlformats.org/officeDocument/2006/relationships" name="Co so du lieu virus" sheetId="3" r:id="R9c323e4f17ea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dd/mm/yyyy hh:mm"/>
  </x:numFmts>
  <x:fonts count="7">
    <x:font>
      <x:sz val="11"/>
      <x:name val="Carlito"/>
    </x:font>
    <x:font>
      <x:sz val="11"/>
      <x:name val="Inter"/>
    </x:font>
    <x:font>
      <x:sz val="16"/>
      <x:name val="Inter"/>
    </x:font>
    <x:font>
      <x:b/>
      <x:sz val="16"/>
      <x:name val="Inter"/>
    </x:font>
    <x:font>
      <x:sz val="11"/>
      <x:color rgb="FFFFFFFF"/>
      <x:name val="Inter"/>
    </x:font>
    <x:font>
      <x:b/>
      <x:sz val="11"/>
      <x:color rgb="FFFFFFFF"/>
      <x:name val="Inter"/>
    </x:font>
    <x:font>
      <x:b/>
      <x:sz val="11"/>
      <x:name val="Inter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b7a43a5f31448f" /><Relationship Type="http://schemas.openxmlformats.org/officeDocument/2006/relationships/theme" Target="/xl/theme/theme1.xml" Id="R50dd829eb81c4fd8" /><Relationship Type="http://schemas.openxmlformats.org/officeDocument/2006/relationships/sharedStrings" Target="/xl/sharedStrings.xml" Id="R12e3db796d8b4e8d" /><Relationship Type="http://schemas.openxmlformats.org/officeDocument/2006/relationships/worksheet" Target="/xl/worksheets/sheet1.xml" Id="Rbf9aadae73104e53" /><Relationship Type="http://schemas.openxmlformats.org/officeDocument/2006/relationships/worksheet" Target="/xl/worksheets/sheet2.xml" Id="Rd9b9f57c3618408f" /><Relationship Type="http://schemas.openxmlformats.org/officeDocument/2006/relationships/worksheet" Target="/xl/worksheets/sheet3.xml" Id="R9c323e4f17ea46e5" /></Relationships>
</file>

<file path=xl/tables/table1.xml><?xml version="1.0" encoding="utf-8"?>
<x:table xmlns:x="http://schemas.openxmlformats.org/spreadsheetml/2006/main" id="1" name="NhatKy" displayName="NhatKy" ref="A1:I31" headerRowCount="1" totalsRowCount="0" totalsRowShown="0">
  <x:autoFilter ref="A1:I31"/>
  <x:tableColumns count="9">
    <x:tableColumn id="1" name="Mã cảnh báo"/>
    <x:tableColumn id="2" name="Thời gian ICT"/>
    <x:tableColumn id="3" name="Thiết bị"/>
    <x:tableColumn id="4" name="Mã độc thô"/>
    <x:tableColumn id="5" name="Loại mã độc"/>
    <x:tableColumn id="6" name="Mức độ"/>
    <x:tableColumn id="7" name="Xử lý đề xuất"/>
    <x:tableColumn id="8" name="Trạng thái"/>
    <x:tableColumn id="9" name="Ghi chú vận hàn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nhMucVirus" displayName="DanhMucVirus" ref="A1:E7" headerRowCount="1" totalsRowCount="0" totalsRowShown="0">
  <x:autoFilter ref="A1:E7"/>
  <x:tableColumns count="5">
    <x:tableColumn id="1" name="Mã độc"/>
    <x:tableColumn id="2" name="Loại mã độc"/>
    <x:tableColumn id="3" name="Mức độ"/>
    <x:tableColumn id="4" name="Xử lý đề xuất"/>
    <x:tableColumn id="5" name="Số lần mã xuất hiệ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75e3fb876f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e04226ef84f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3" hidden="0" customWidth="1"/>
    <x:col min="4" max="4" width="29" hidden="0" customWidth="1"/>
    <x:col min="5" max="5" width="13" hidden="0" customWidth="1"/>
    <x:col min="6" max="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NetGuard báo cáo cảnh báo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Dữ liệu giả lập ngày 27/10/2026, giờ Việt Nam. Cảnh báo không đồng nghĩa máy đã nhiễm.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8" customHeight="1">
      <x:c r="A5" s="8" t="str">
        <x:v>Chỉ tiêu</x:v>
      </x:c>
      <x:c r="B5" s="8" t="str">
        <x:v>Số lượng</x:v>
      </x:c>
      <x:c r="C5" s="2"/>
      <x:c r="D5" s="8" t="str">
        <x:v>Loại cảnh báo</x:v>
      </x:c>
      <x:c r="E5" s="8" t="str">
        <x:v>Số lượng</x:v>
      </x:c>
      <x:c r="F5" s="8" t="str">
        <x:v>Tỷ lệ</x:v>
      </x:c>
      <x:c r="G5" s="2"/>
      <x:c r="H5" s="2"/>
      <x:c r="I5" s="2"/>
      <x:c r="J5" s="2"/>
      <x:c r="K5" s="2"/>
      <x:c r="L5" s="2"/>
    </x:row>
    <x:row r="6" ht="28" customHeight="1">
      <x:c r="A6" s="2" t="str">
        <x:v>Tổng cảnh báo</x:v>
      </x:c>
      <x:c r="B6" s="2" t="n">
        <x:f>COUNTA('Nhat ky he thong'!$A$2:$A$31)</x:f>
        <x:v>30</x:v>
      </x:c>
      <x:c r="C6" s="2"/>
      <x:c r="D6" s="2" t="str">
        <x:v>Ransomware</x:v>
      </x:c>
      <x:c r="E6" s="2" t="n">
        <x:f>COUNTIF('Nhat ky he thong'!$E$2:$E$31,D6)</x:f>
        <x:v>5</x:v>
      </x:c>
      <x:c r="F6" s="10" t="n">
        <x:f>E6/$B$6</x:f>
        <x:v>0.16666666666666666</x:v>
      </x:c>
      <x:c r="G6" s="2"/>
      <x:c r="H6" s="2"/>
      <x:c r="I6" s="2"/>
      <x:c r="J6" s="2"/>
      <x:c r="K6" s="2"/>
      <x:c r="L6" s="2"/>
    </x:row>
    <x:row r="7" ht="28" customHeight="1">
      <x:c r="A7" s="2" t="str">
        <x:v>Đã phân loại</x:v>
      </x:c>
      <x:c r="B7" s="2" t="n">
        <x:f>B6-B8-B9</x:f>
        <x:v>27</x:v>
      </x:c>
      <x:c r="C7" s="2"/>
      <x:c r="D7" s="2" t="str">
        <x:v>Trojan</x:v>
      </x:c>
      <x:c r="E7" s="2" t="n">
        <x:f>COUNTIF('Nhat ky he thong'!$E$2:$E$31,D7)</x:f>
        <x:v>5</x:v>
      </x:c>
      <x:c r="F7" s="10" t="n">
        <x:f>E7/$B$6</x:f>
        <x:v>0.16666666666666666</x:v>
      </x:c>
      <x:c r="G7" s="2"/>
      <x:c r="H7" s="2"/>
      <x:c r="I7" s="2"/>
      <x:c r="J7" s="2"/>
      <x:c r="K7" s="2"/>
      <x:c r="L7" s="2"/>
    </x:row>
    <x:row r="8" ht="28" customHeight="1">
      <x:c r="A8" s="2" t="str">
        <x:v>Chưa có trong danh mục</x:v>
      </x:c>
      <x:c r="B8" s="2" t="n">
        <x:f>COUNTIF('Nhat ky he thong'!$E$2:$E$31,"Chưa có trong danh mục")</x:f>
        <x:v>2</x:v>
      </x:c>
      <x:c r="C8" s="2"/>
      <x:c r="D8" s="2" t="str">
        <x:v>Worm</x:v>
      </x:c>
      <x:c r="E8" s="2" t="n">
        <x:f>COUNTIF('Nhat ky he thong'!$E$2:$E$31,D8)</x:f>
        <x:v>5</x:v>
      </x:c>
      <x:c r="F8" s="10" t="n">
        <x:f>E8/$B$6</x:f>
        <x:v>0.16666666666666666</x:v>
      </x:c>
      <x:c r="G8" s="2"/>
      <x:c r="H8" s="2"/>
      <x:c r="I8" s="2"/>
      <x:c r="J8" s="2"/>
      <x:c r="K8" s="2"/>
      <x:c r="L8" s="2"/>
    </x:row>
    <x:row r="9" ht="28" customHeight="1">
      <x:c r="A9" s="2" t="str">
        <x:v>Thiếu mã đầu vào</x:v>
      </x:c>
      <x:c r="B9" s="2" t="n">
        <x:f>COUNTIF('Nhat ky he thong'!$E$2:$E$31,"Thiếu mã đầu vào")</x:f>
        <x:v>1</x:v>
      </x:c>
      <x:c r="C9" s="2"/>
      <x:c r="D9" s="2" t="str">
        <x:v>Spyware</x:v>
      </x:c>
      <x:c r="E9" s="2" t="n">
        <x:f>COUNTIF('Nhat ky he thong'!$E$2:$E$31,D9)</x:f>
        <x:v>4</x:v>
      </x:c>
      <x:c r="F9" s="10" t="n">
        <x:f>E9/$B$6</x:f>
        <x:v>0.13333333333333333</x:v>
      </x:c>
      <x:c r="G9" s="2"/>
      <x:c r="H9" s="2"/>
      <x:c r="I9" s="2"/>
      <x:c r="J9" s="2"/>
      <x:c r="K9" s="2"/>
      <x:c r="L9" s="2"/>
    </x:row>
    <x:row r="10" ht="28" customHeight="1">
      <x:c r="A10" s="2" t="str">
        <x:v>Đang điều tra</x:v>
      </x:c>
      <x:c r="B10" s="2" t="n">
        <x:f>COUNTIF('Nhat ky he thong'!$H$2:$H$31,"Điều tra")</x:f>
        <x:v>12</x:v>
      </x:c>
      <x:c r="C10" s="2"/>
      <x:c r="D10" s="2" t="str">
        <x:v>Adware</x:v>
      </x:c>
      <x:c r="E10" s="2" t="n">
        <x:f>COUNTIF('Nhat ky he thong'!$E$2:$E$31,D10)</x:f>
        <x:v>4</x:v>
      </x:c>
      <x:c r="F10" s="10" t="n">
        <x:f>E10/$B$6</x:f>
        <x:v>0.13333333333333333</x:v>
      </x:c>
      <x:c r="G10" s="2"/>
      <x:c r="H10" s="2"/>
      <x:c r="I10" s="2"/>
      <x:c r="J10" s="2"/>
      <x:c r="K10" s="2"/>
      <x:c r="L10" s="2"/>
    </x:row>
    <x:row r="11" ht="28" customHeight="1">
      <x:c r="A11" s="2" t="str">
        <x:v>Máy đang cách ly</x:v>
      </x:c>
      <x:c r="B11" s="9" t="n">
        <x:v>2</x:v>
      </x:c>
      <x:c r="C11" s="2"/>
      <x:c r="D11" s="2" t="str">
        <x:v>Downloader</x:v>
      </x:c>
      <x:c r="E11" s="2" t="n">
        <x:f>COUNTIF('Nhat ky he thong'!$E$2:$E$31,D11)</x:f>
        <x:v>4</x:v>
      </x:c>
      <x:c r="F11" s="10" t="n">
        <x:f>E11/$B$6</x:f>
        <x:v>0.13333333333333333</x:v>
      </x:c>
      <x:c r="G11" s="2"/>
      <x:c r="H11" s="2"/>
      <x:c r="I11" s="2"/>
      <x:c r="J11" s="2"/>
      <x:c r="K11" s="2"/>
      <x:c r="L11" s="2"/>
    </x:row>
    <x:row r="12" ht="28" customHeight="1">
      <x:c r="A12" s="2" t="str">
        <x:v>Cảnh báo đang hiện</x:v>
      </x:c>
      <x:c r="B12" s="2" t="n">
        <x:f>SUBTOTAL(103,'Nhat ky he thong'!$A$2:$A$31)</x:f>
        <x:v>30</x:v>
      </x:c>
      <x:c r="C12" s="2"/>
      <x:c r="D12" s="2" t="str">
        <x:v>Chưa có trong danh mục</x:v>
      </x:c>
      <x:c r="E12" s="2" t="n">
        <x:f>COUNTIF('Nhat ky he thong'!$E$2:$E$31,D12)</x:f>
        <x:v>2</x:v>
      </x:c>
      <x:c r="F12" s="10" t="n">
        <x:f>E12/$B$6</x:f>
        <x:v>0.06666666666666667</x:v>
      </x:c>
      <x:c r="G12" s="2"/>
      <x:c r="H12" s="2"/>
      <x:c r="I12" s="2"/>
      <x:c r="J12" s="2"/>
      <x:c r="K12" s="2"/>
      <x:c r="L12" s="2"/>
    </x:row>
    <x:row r="13" ht="28" customHeight="1">
      <x:c r="A13" s="2"/>
      <x:c r="B13" s="2"/>
      <x:c r="C13" s="2"/>
      <x:c r="D13" s="2" t="str">
        <x:v>Thiếu mã đầu vào</x:v>
      </x:c>
      <x:c r="E13" s="2" t="n">
        <x:f>COUNTIF('Nhat ky he thong'!$E$2:$E$31,D13)</x:f>
        <x:v>1</x:v>
      </x:c>
      <x:c r="F13" s="10" t="n">
        <x:f>E13/$B$6</x:f>
        <x:v>0.03333333333333333</x:v>
      </x:c>
      <x:c r="G13" s="2"/>
      <x:c r="H13" s="2"/>
      <x:c r="I13" s="2"/>
      <x:c r="J13" s="2"/>
      <x:c r="K13" s="2"/>
      <x:c r="L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8" t="str">
        <x:v>Đối chiếu</x:v>
      </x:c>
      <x:c r="B15" s="8" t="str">
        <x:v>Kết quả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" t="str">
        <x:v>Tổng phân nhóm trừ tổng cảnh báo</x:v>
      </x:c>
      <x:c r="B16" s="2" t="n">
        <x:f>SUM(E6:E13)-B6</x:f>
        <x:v>0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8" customHeight="1">
      <x:c r="A17" s="2" t="str">
        <x:v>Mã danh mục bị trùng</x:v>
      </x:c>
      <x:c r="B17" s="2" t="n">
        <x:f>COUNTIF('Co so du lieu virus'!$E$2:$E$7,"&gt;1")</x:f>
        <x:v>0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11" t="str">
        <x:v>Cách dùng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 t="str">
        <x:v>1. Mở Nhat ky he thong. Bấm mũi tên tiêu đề để lọc Mức độ = Cao và Trạng thái = Điều tra.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2. Kết quả mẫu: 9 cảnh báo. Lọc trên nhiều cột kết hợp theo điều kiện AND.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 t="str">
        <x:v>3. B12 dùng SUBTOTAL nên thay đổi theo hàng đang hiện. Các thống kê còn lại tính toàn bộ 30 dòng.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 t="str">
        <x:v>4. Cột D là mã thô có khoảng trắng. Cột E:G dùng VLOOKUP(TRIM(D2),...) với FALSE để tìm chính xác.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 t="str">
        <x:v>5. Gỡ lọc bằng Data &gt; Clear. Sau khi sửa dữ liệu, dùng Data &gt; Reapply nếu bộ lọc chưa cập nhật.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6. B11 là số máy cách ly của kịch bản, nhập tay khi kiểm kê thay đổi. Có 10 cảnh báo trên 2 máy này.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 t="str">
        <x:v>7. Khi thêm bản ghi, mở rộng Table và sao chép công thức E:G. Cập nhật vùng thống kê đến dòng cuối.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 t="str">
        <x:v>8. Mã danh mục phải sạch và duy nhất. Nếu E của danh mục &gt; 1, xử lý trùng trước khi dùng VLOOKUP.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 t="str">
        <x:v>Nguồn dữ liệu: giả lập cho bài tập NetGuard, không phải tình báo mã độc hoặc chứng cứ sự cố thực.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11" t="str">
        <x:v>Công thức mẫu ở E2 của nhật ký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 t="str">
        <x:v>=IF(TRIM(D2)="","Thiếu mã đầu vào",IFNA(VLOOKUP(TRIM(D2),'Co so du lieu virus'!$A$2:$D$7,2,FALSE),"Chưa có trong danh mục"))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 t="str">
        <x:v>TRIM chỉ xử lý dấu cách thường. Với dữ liệu web có CHAR(160), dùng TRIM(SUBSTITUTE(D2,CHAR(160)," ")).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 t="str">
        <x:v>Nguồn hướng dẫn Microsoft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 t="str">
        <x:v>https://support.microsoft.com/en-us/excel/functions/vlookup-function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 t="str">
        <x:v>https://support.microsoft.com/en-us/excel/functions/trim-function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 t="str">
        <x:v>https://support.microsoft.com/en-us/excel/get-started/filter-data-in-a-range-or-table-in-excel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</x:sheetData>
  <x:conditionalFormatting sqref="B16:B17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6" hidden="0" customWidth="1"/>
    <x:col min="5" max="5" width="25" hidden="0" customWidth="1"/>
    <x:col min="6" max="6" width="20" hidden="0" customWidth="1"/>
    <x:col min="7" max="7" width="40" hidden="0" customWidth="1"/>
    <x:col min="8" max="8" width="15" hidden="0" customWidth="1"/>
    <x:col min="9" max="9" width="41" hidden="0" customWidth="1"/>
  </x:cols>
  <x:sheetData>
    <x:row r="1" ht="34" customHeight="1">
      <x:c r="A1" s="8" t="str">
        <x:v>Mã cảnh báo</x:v>
      </x:c>
      <x:c r="B1" s="8" t="str">
        <x:v>Thời gian ICT</x:v>
      </x:c>
      <x:c r="C1" s="8" t="str">
        <x:v>Thiết bị</x:v>
      </x:c>
      <x:c r="D1" s="8" t="str">
        <x:v>Mã độc thô</x:v>
      </x:c>
      <x:c r="E1" s="8" t="str">
        <x:v>Loại mã độc</x:v>
      </x:c>
      <x:c r="F1" s="8" t="str">
        <x:v>Mức độ</x:v>
      </x:c>
      <x:c r="G1" s="8" t="str">
        <x:v>Xử lý đề xuất</x:v>
      </x:c>
      <x:c r="H1" s="8" t="str">
        <x:v>Trạng thái</x:v>
      </x:c>
      <x:c r="I1" s="8" t="str">
        <x:v>Ghi chú vận hành</x:v>
      </x:c>
      <x:c r="J1" s="2"/>
      <x:c r="K1" s="2"/>
      <x:c r="L1" s="2"/>
    </x:row>
    <x:row r="2" ht="38" customHeight="1">
      <x:c r="A2" s="12" t="str">
        <x:v>EVT-001</x:v>
      </x:c>
      <x:c r="B2" s="13" t="d">
        <x:v>2026-10-27T09:00:00.000Z</x:v>
      </x:c>
      <x:c r="C2" s="12" t="str">
        <x:v>WS-01</x:v>
      </x:c>
      <x:c r="D2" s="12" t="str">
        <x:v>  MAL001   </x:v>
      </x:c>
      <x:c r="E2" s="12" t="str">
        <x:f>IF(TRIM(D2)="","Thiếu mã đầu vào",_xlfn.IFNA(VLOOKUP(TRIM(D2),'Co so du lieu virus'!$A$2:$D$7,2,FALSE),"Chưa có trong danh mục"))</x:f>
        <x:v>Ransomware</x:v>
      </x:c>
      <x:c r="F2" s="12" t="str">
        <x:f>IF(TRIM(D2)="","Thiếu mã đầu vào",_xlfn.IFNA(VLOOKUP(TRIM(D2),'Co so du lieu virus'!$A$2:$D$7,3,FALSE),"Chưa có trong danh mục"))</x:f>
        <x:v>Nghiêm trọng</x:v>
      </x:c>
      <x:c r="G2" s="12" t="str">
        <x:f>IF(TRIM(D2)="","Thiếu mã đầu vào",_xlfn.IFNA(VLOOKUP(TRIM(D2),'Co so du lieu virus'!$A$2:$D$7,4,FALSE),"Chưa có trong danh mục"))</x:f>
        <x:v>Cách ly máy, bảo toàn bằng chứng</x:v>
      </x:c>
      <x:c r="H2" s="12" t="str">
        <x:v>Cách ly</x:v>
      </x:c>
      <x:c r="I2" s="12" t="str">
        <x:v>Máy đã tách mạng trong mô phỏng</x:v>
      </x:c>
      <x:c r="J2" s="2"/>
      <x:c r="K2" s="2"/>
      <x:c r="L2" s="2"/>
    </x:row>
    <x:row r="3" ht="38" customHeight="1">
      <x:c r="A3" s="12" t="str">
        <x:v>EVT-002</x:v>
      </x:c>
      <x:c r="B3" s="13" t="d">
        <x:v>2026-10-27T09:04:59.999Z</x:v>
      </x:c>
      <x:c r="C3" s="12" t="str">
        <x:v>WS-02</x:v>
      </x:c>
      <x:c r="D3" s="12" t="str">
        <x:v>MAL002</x:v>
      </x:c>
      <x:c r="E3" s="12" t="str">
        <x:f>IF(TRIM(D3)="","Thiếu mã đầu vào",_xlfn.IFNA(VLOOKUP(TRIM(D3),'Co so du lieu virus'!$A$2:$D$7,2,FALSE),"Chưa có trong danh mục"))</x:f>
        <x:v>Trojan</x:v>
      </x:c>
      <x:c r="F3" s="12" t="str">
        <x:f>IF(TRIM(D3)="","Thiếu mã đầu vào",_xlfn.IFNA(VLOOKUP(TRIM(D3),'Co so du lieu virus'!$A$2:$D$7,3,FALSE),"Chưa có trong danh mục"))</x:f>
        <x:v>Cao</x:v>
      </x:c>
      <x:c r="G3" s="12" t="str">
        <x:f>IF(TRIM(D3)="","Thiếu mã đầu vào",_xlfn.IFNA(VLOOKUP(TRIM(D3),'Co so du lieu virus'!$A$2:$D$7,4,FALSE),"Chưa có trong danh mục"))</x:f>
        <x:v>Cách ly máy, rà soát tài khoản</x:v>
      </x:c>
      <x:c r="H3" s="12" t="str">
        <x:v>Cách ly</x:v>
      </x:c>
      <x:c r="I3" s="12" t="str">
        <x:v>Máy đã tách mạng trong mô phỏng</x:v>
      </x:c>
      <x:c r="J3" s="2"/>
      <x:c r="K3" s="2"/>
      <x:c r="L3" s="2"/>
    </x:row>
    <x:row r="4" ht="38" customHeight="1">
      <x:c r="A4" s="12" t="str">
        <x:v>EVT-003</x:v>
      </x:c>
      <x:c r="B4" s="13" t="d">
        <x:v>2026-10-27T09:10:00.000Z</x:v>
      </x:c>
      <x:c r="C4" s="12" t="str">
        <x:v>WS-03</x:v>
      </x:c>
      <x:c r="D4" s="12" t="str">
        <x:v>MAL003</x:v>
      </x:c>
      <x:c r="E4" s="12" t="str">
        <x:f>IF(TRIM(D4)="","Thiếu mã đầu vào",_xlfn.IFNA(VLOOKUP(TRIM(D4),'Co so du lieu virus'!$A$2:$D$7,2,FALSE),"Chưa có trong danh mục"))</x:f>
        <x:v>Worm</x:v>
      </x:c>
      <x:c r="F4" s="12" t="str">
        <x:f>IF(TRIM(D4)="","Thiếu mã đầu vào",_xlfn.IFNA(VLOOKUP(TRIM(D4),'Co so du lieu virus'!$A$2:$D$7,3,FALSE),"Chưa có trong danh mục"))</x:f>
        <x:v>Cao</x:v>
      </x:c>
      <x:c r="G4" s="12" t="str">
        <x:f>IF(TRIM(D4)="","Thiếu mã đầu vào",_xlfn.IFNA(VLOOKUP(TRIM(D4),'Co so du lieu virus'!$A$2:$D$7,4,FALSE),"Chưa có trong danh mục"))</x:f>
        <x:v>Khoanh vùng mạng, kiểm tra lây lan</x:v>
      </x:c>
      <x:c r="H4" s="12" t="str">
        <x:v>Điều tra</x:v>
      </x:c>
      <x:c r="I4" s="12" t="str">
        <x:v>Chờ phân tích bổ sung</x:v>
      </x:c>
      <x:c r="J4" s="2"/>
      <x:c r="K4" s="2"/>
      <x:c r="L4" s="2"/>
    </x:row>
    <x:row r="5" ht="38" customHeight="1">
      <x:c r="A5" s="12" t="str">
        <x:v>EVT-004</x:v>
      </x:c>
      <x:c r="B5" s="13" t="d">
        <x:v>2026-10-27T09:15:00.000Z</x:v>
      </x:c>
      <x:c r="C5" s="12" t="str">
        <x:v>WS-04</x:v>
      </x:c>
      <x:c r="D5" s="12" t="str">
        <x:v>  MAL004   </x:v>
      </x:c>
      <x:c r="E5" s="12" t="str">
        <x:f>IF(TRIM(D5)="","Thiếu mã đầu vào",_xlfn.IFNA(VLOOKUP(TRIM(D5),'Co so du lieu virus'!$A$2:$D$7,2,FALSE),"Chưa có trong danh mục"))</x:f>
        <x:v>Spyware</x:v>
      </x:c>
      <x:c r="F5" s="12" t="str">
        <x:f>IF(TRIM(D5)="","Thiếu mã đầu vào",_xlfn.IFNA(VLOOKUP(TRIM(D5),'Co so du lieu virus'!$A$2:$D$7,3,FALSE),"Chưa có trong danh mục"))</x:f>
        <x:v>Cao</x:v>
      </x:c>
      <x:c r="G5" s="12" t="str">
        <x:f>IF(TRIM(D5)="","Thiếu mã đầu vào",_xlfn.IFNA(VLOOKUP(TRIM(D5),'Co so du lieu virus'!$A$2:$D$7,4,FALSE),"Chưa có trong danh mục"))</x:f>
        <x:v>Rà soát truy cập và dữ liệu nhạy cảm</x:v>
      </x:c>
      <x:c r="H5" s="12" t="str">
        <x:v>Điều tra</x:v>
      </x:c>
      <x:c r="I5" s="12" t="str">
        <x:v>Chờ phân tích bổ sung</x:v>
      </x:c>
      <x:c r="J5" s="2"/>
      <x:c r="K5" s="2"/>
      <x:c r="L5" s="2"/>
    </x:row>
    <x:row r="6" ht="38" customHeight="1">
      <x:c r="A6" s="12" t="str">
        <x:v>EVT-005</x:v>
      </x:c>
      <x:c r="B6" s="13" t="d">
        <x:v>2026-10-27T09:20:00.000Z</x:v>
      </x:c>
      <x:c r="C6" s="12" t="str">
        <x:v>WS-05</x:v>
      </x:c>
      <x:c r="D6" s="12" t="str">
        <x:v>MAL005</x:v>
      </x:c>
      <x:c r="E6" s="12" t="str">
        <x:f>IF(TRIM(D6)="","Thiếu mã đầu vào",_xlfn.IFNA(VLOOKUP(TRIM(D6),'Co so du lieu virus'!$A$2:$D$7,2,FALSE),"Chưa có trong danh mục"))</x:f>
        <x:v>Adware</x:v>
      </x:c>
      <x:c r="F6" s="12" t="str">
        <x:f>IF(TRIM(D6)="","Thiếu mã đầu vào",_xlfn.IFNA(VLOOKUP(TRIM(D6),'Co so du lieu virus'!$A$2:$D$7,3,FALSE),"Chưa có trong danh mục"))</x:f>
        <x:v>Trung bình</x:v>
      </x:c>
      <x:c r="G6" s="12" t="str">
        <x:f>IF(TRIM(D6)="","Thiếu mã đầu vào",_xlfn.IFNA(VLOOKUP(TRIM(D6),'Co so du lieu virus'!$A$2:$D$7,4,FALSE),"Chưa có trong danh mục"))</x:f>
        <x:v>Chặn tệp, kiểm tra phần mềm cài thêm</x:v>
      </x:c>
      <x:c r="H6" s="12" t="str">
        <x:v>Đã chặn</x:v>
      </x:c>
      <x:c r="I6" s="12" t="str">
        <x:v>Công cụ đã chặn cảnh báo</x:v>
      </x:c>
      <x:c r="J6" s="2"/>
      <x:c r="K6" s="2"/>
      <x:c r="L6" s="2"/>
    </x:row>
    <x:row r="7" ht="38" customHeight="1">
      <x:c r="A7" s="12" t="str">
        <x:v>EVT-006</x:v>
      </x:c>
      <x:c r="B7" s="13" t="d">
        <x:v>2026-10-27T09:25:00.000Z</x:v>
      </x:c>
      <x:c r="C7" s="12" t="str">
        <x:v>WS-06</x:v>
      </x:c>
      <x:c r="D7" s="12" t="str">
        <x:v>MAL006</x:v>
      </x:c>
      <x:c r="E7" s="12" t="str">
        <x:f>IF(TRIM(D7)="","Thiếu mã đầu vào",_xlfn.IFNA(VLOOKUP(TRIM(D7),'Co so du lieu virus'!$A$2:$D$7,2,FALSE),"Chưa có trong danh mục"))</x:f>
        <x:v>Downloader</x:v>
      </x:c>
      <x:c r="F7" s="12" t="str">
        <x:f>IF(TRIM(D7)="","Thiếu mã đầu vào",_xlfn.IFNA(VLOOKUP(TRIM(D7),'Co so du lieu virus'!$A$2:$D$7,3,FALSE),"Chưa có trong danh mục"))</x:f>
        <x:v>Trung bình</x:v>
      </x:c>
      <x:c r="G7" s="12" t="str">
        <x:f>IF(TRIM(D7)="","Thiếu mã đầu vào",_xlfn.IFNA(VLOOKUP(TRIM(D7),'Co so du lieu virus'!$A$2:$D$7,4,FALSE),"Chưa có trong danh mục"))</x:f>
        <x:v>Chặn tải xuống, rà soát tệp liên quan</x:v>
      </x:c>
      <x:c r="H7" s="12" t="str">
        <x:v>Đã chặn</x:v>
      </x:c>
      <x:c r="I7" s="12" t="str">
        <x:v>Công cụ đã chặn cảnh báo</x:v>
      </x:c>
      <x:c r="J7" s="2"/>
      <x:c r="K7" s="2"/>
      <x:c r="L7" s="2"/>
    </x:row>
    <x:row r="8" ht="38" customHeight="1">
      <x:c r="A8" s="12" t="str">
        <x:v>EVT-007</x:v>
      </x:c>
      <x:c r="B8" s="13" t="d">
        <x:v>2026-10-27T09:30:00.000Z</x:v>
      </x:c>
      <x:c r="C8" s="12" t="str">
        <x:v>WS-01</x:v>
      </x:c>
      <x:c r="D8" s="12" t="str">
        <x:v>  MAL001   </x:v>
      </x:c>
      <x:c r="E8" s="12" t="str">
        <x:f>IF(TRIM(D8)="","Thiếu mã đầu vào",_xlfn.IFNA(VLOOKUP(TRIM(D8),'Co so du lieu virus'!$A$2:$D$7,2,FALSE),"Chưa có trong danh mục"))</x:f>
        <x:v>Ransomware</x:v>
      </x:c>
      <x:c r="F8" s="12" t="str">
        <x:f>IF(TRIM(D8)="","Thiếu mã đầu vào",_xlfn.IFNA(VLOOKUP(TRIM(D8),'Co so du lieu virus'!$A$2:$D$7,3,FALSE),"Chưa có trong danh mục"))</x:f>
        <x:v>Nghiêm trọng</x:v>
      </x:c>
      <x:c r="G8" s="12" t="str">
        <x:f>IF(TRIM(D8)="","Thiếu mã đầu vào",_xlfn.IFNA(VLOOKUP(TRIM(D8),'Co so du lieu virus'!$A$2:$D$7,4,FALSE),"Chưa có trong danh mục"))</x:f>
        <x:v>Cách ly máy, bảo toàn bằng chứng</x:v>
      </x:c>
      <x:c r="H8" s="12" t="str">
        <x:v>Cách ly</x:v>
      </x:c>
      <x:c r="I8" s="12" t="str">
        <x:v>Máy đã tách mạng trong mô phỏng</x:v>
      </x:c>
      <x:c r="J8" s="2"/>
      <x:c r="K8" s="2"/>
      <x:c r="L8" s="2"/>
    </x:row>
    <x:row r="9" ht="38" customHeight="1">
      <x:c r="A9" s="12" t="str">
        <x:v>EVT-008</x:v>
      </x:c>
      <x:c r="B9" s="13" t="d">
        <x:v>2026-10-27T09:35:00.000Z</x:v>
      </x:c>
      <x:c r="C9" s="12" t="str">
        <x:v>WS-02</x:v>
      </x:c>
      <x:c r="D9" s="12" t="str">
        <x:v>MAL002</x:v>
      </x:c>
      <x:c r="E9" s="12" t="str">
        <x:f>IF(TRIM(D9)="","Thiếu mã đầu vào",_xlfn.IFNA(VLOOKUP(TRIM(D9),'Co so du lieu virus'!$A$2:$D$7,2,FALSE),"Chưa có trong danh mục"))</x:f>
        <x:v>Trojan</x:v>
      </x:c>
      <x:c r="F9" s="12" t="str">
        <x:f>IF(TRIM(D9)="","Thiếu mã đầu vào",_xlfn.IFNA(VLOOKUP(TRIM(D9),'Co so du lieu virus'!$A$2:$D$7,3,FALSE),"Chưa có trong danh mục"))</x:f>
        <x:v>Cao</x:v>
      </x:c>
      <x:c r="G9" s="12" t="str">
        <x:f>IF(TRIM(D9)="","Thiếu mã đầu vào",_xlfn.IFNA(VLOOKUP(TRIM(D9),'Co so du lieu virus'!$A$2:$D$7,4,FALSE),"Chưa có trong danh mục"))</x:f>
        <x:v>Cách ly máy, rà soát tài khoản</x:v>
      </x:c>
      <x:c r="H9" s="12" t="str">
        <x:v>Cách ly</x:v>
      </x:c>
      <x:c r="I9" s="12" t="str">
        <x:v>Máy đã tách mạng trong mô phỏng</x:v>
      </x:c>
      <x:c r="J9" s="2"/>
      <x:c r="K9" s="2"/>
      <x:c r="L9" s="2"/>
    </x:row>
    <x:row r="10" ht="38" customHeight="1">
      <x:c r="A10" s="12" t="str">
        <x:v>EVT-009</x:v>
      </x:c>
      <x:c r="B10" s="13" t="d">
        <x:v>2026-10-27T09:40:00.000Z</x:v>
      </x:c>
      <x:c r="C10" s="12" t="str">
        <x:v>WS-03</x:v>
      </x:c>
      <x:c r="D10" s="12" t="str">
        <x:v>MAL003</x:v>
      </x:c>
      <x:c r="E10" s="12" t="str">
        <x:f>IF(TRIM(D10)="","Thiếu mã đầu vào",_xlfn.IFNA(VLOOKUP(TRIM(D10),'Co so du lieu virus'!$A$2:$D$7,2,FALSE),"Chưa có trong danh mục"))</x:f>
        <x:v>Worm</x:v>
      </x:c>
      <x:c r="F10" s="12" t="str">
        <x:f>IF(TRIM(D10)="","Thiếu mã đầu vào",_xlfn.IFNA(VLOOKUP(TRIM(D10),'Co so du lieu virus'!$A$2:$D$7,3,FALSE),"Chưa có trong danh mục"))</x:f>
        <x:v>Cao</x:v>
      </x:c>
      <x:c r="G10" s="12" t="str">
        <x:f>IF(TRIM(D10)="","Thiếu mã đầu vào",_xlfn.IFNA(VLOOKUP(TRIM(D10),'Co so du lieu virus'!$A$2:$D$7,4,FALSE),"Chưa có trong danh mục"))</x:f>
        <x:v>Khoanh vùng mạng, kiểm tra lây lan</x:v>
      </x:c>
      <x:c r="H10" s="12" t="str">
        <x:v>Điều tra</x:v>
      </x:c>
      <x:c r="I10" s="12" t="str">
        <x:v>Chờ phân tích bổ sung</x:v>
      </x:c>
      <x:c r="J10" s="2"/>
      <x:c r="K10" s="2"/>
      <x:c r="L10" s="2"/>
    </x:row>
    <x:row r="11" ht="38" customHeight="1">
      <x:c r="A11" s="12" t="str">
        <x:v>EVT-010</x:v>
      </x:c>
      <x:c r="B11" s="13" t="d">
        <x:v>2026-10-27T09:45:00.000Z</x:v>
      </x:c>
      <x:c r="C11" s="12" t="str">
        <x:v>WS-04</x:v>
      </x:c>
      <x:c r="D11" s="12" t="str">
        <x:v>  MAL004   </x:v>
      </x:c>
      <x:c r="E11" s="12" t="str">
        <x:f>IF(TRIM(D11)="","Thiếu mã đầu vào",_xlfn.IFNA(VLOOKUP(TRIM(D11),'Co so du lieu virus'!$A$2:$D$7,2,FALSE),"Chưa có trong danh mục"))</x:f>
        <x:v>Spyware</x:v>
      </x:c>
      <x:c r="F11" s="12" t="str">
        <x:f>IF(TRIM(D11)="","Thiếu mã đầu vào",_xlfn.IFNA(VLOOKUP(TRIM(D11),'Co so du lieu virus'!$A$2:$D$7,3,FALSE),"Chưa có trong danh mục"))</x:f>
        <x:v>Cao</x:v>
      </x:c>
      <x:c r="G11" s="12" t="str">
        <x:f>IF(TRIM(D11)="","Thiếu mã đầu vào",_xlfn.IFNA(VLOOKUP(TRIM(D11),'Co so du lieu virus'!$A$2:$D$7,4,FALSE),"Chưa có trong danh mục"))</x:f>
        <x:v>Rà soát truy cập và dữ liệu nhạy cảm</x:v>
      </x:c>
      <x:c r="H11" s="12" t="str">
        <x:v>Điều tra</x:v>
      </x:c>
      <x:c r="I11" s="12" t="str">
        <x:v>Chờ phân tích bổ sung</x:v>
      </x:c>
      <x:c r="J11" s="2"/>
      <x:c r="K11" s="2"/>
      <x:c r="L11" s="2"/>
    </x:row>
    <x:row r="12" ht="38" customHeight="1">
      <x:c r="A12" s="12" t="str">
        <x:v>EVT-011</x:v>
      </x:c>
      <x:c r="B12" s="13" t="d">
        <x:v>2026-10-27T09:49:59.999Z</x:v>
      </x:c>
      <x:c r="C12" s="12" t="str">
        <x:v>WS-05</x:v>
      </x:c>
      <x:c r="D12" s="12" t="str">
        <x:v>MAL005</x:v>
      </x:c>
      <x:c r="E12" s="12" t="str">
        <x:f>IF(TRIM(D12)="","Thiếu mã đầu vào",_xlfn.IFNA(VLOOKUP(TRIM(D12),'Co so du lieu virus'!$A$2:$D$7,2,FALSE),"Chưa có trong danh mục"))</x:f>
        <x:v>Adware</x:v>
      </x:c>
      <x:c r="F12" s="12" t="str">
        <x:f>IF(TRIM(D12)="","Thiếu mã đầu vào",_xlfn.IFNA(VLOOKUP(TRIM(D12),'Co so du lieu virus'!$A$2:$D$7,3,FALSE),"Chưa có trong danh mục"))</x:f>
        <x:v>Trung bình</x:v>
      </x:c>
      <x:c r="G12" s="12" t="str">
        <x:f>IF(TRIM(D12)="","Thiếu mã đầu vào",_xlfn.IFNA(VLOOKUP(TRIM(D12),'Co so du lieu virus'!$A$2:$D$7,4,FALSE),"Chưa có trong danh mục"))</x:f>
        <x:v>Chặn tệp, kiểm tra phần mềm cài thêm</x:v>
      </x:c>
      <x:c r="H12" s="12" t="str">
        <x:v>Đã chặn</x:v>
      </x:c>
      <x:c r="I12" s="12" t="str">
        <x:v>Công cụ đã chặn cảnh báo</x:v>
      </x:c>
      <x:c r="J12" s="2"/>
      <x:c r="K12" s="2"/>
      <x:c r="L12" s="2"/>
    </x:row>
    <x:row r="13" ht="38" customHeight="1">
      <x:c r="A13" s="12" t="str">
        <x:v>EVT-012</x:v>
      </x:c>
      <x:c r="B13" s="13" t="d">
        <x:v>2026-10-27T09:55:00.000Z</x:v>
      </x:c>
      <x:c r="C13" s="12" t="str">
        <x:v>WS-06</x:v>
      </x:c>
      <x:c r="D13" s="12" t="str">
        <x:v>MAL006</x:v>
      </x:c>
      <x:c r="E13" s="12" t="str">
        <x:f>IF(TRIM(D13)="","Thiếu mã đầu vào",_xlfn.IFNA(VLOOKUP(TRIM(D13),'Co so du lieu virus'!$A$2:$D$7,2,FALSE),"Chưa có trong danh mục"))</x:f>
        <x:v>Downloader</x:v>
      </x:c>
      <x:c r="F13" s="12" t="str">
        <x:f>IF(TRIM(D13)="","Thiếu mã đầu vào",_xlfn.IFNA(VLOOKUP(TRIM(D13),'Co so du lieu virus'!$A$2:$D$7,3,FALSE),"Chưa có trong danh mục"))</x:f>
        <x:v>Trung bình</x:v>
      </x:c>
      <x:c r="G13" s="12" t="str">
        <x:f>IF(TRIM(D13)="","Thiếu mã đầu vào",_xlfn.IFNA(VLOOKUP(TRIM(D13),'Co so du lieu virus'!$A$2:$D$7,4,FALSE),"Chưa có trong danh mục"))</x:f>
        <x:v>Chặn tải xuống, rà soát tệp liên quan</x:v>
      </x:c>
      <x:c r="H13" s="12" t="str">
        <x:v>Đã chặn</x:v>
      </x:c>
      <x:c r="I13" s="12" t="str">
        <x:v>Công cụ đã chặn cảnh báo</x:v>
      </x:c>
      <x:c r="J13" s="2"/>
      <x:c r="K13" s="2"/>
      <x:c r="L13" s="2"/>
    </x:row>
    <x:row r="14" ht="38" customHeight="1">
      <x:c r="A14" s="12" t="str">
        <x:v>EVT-013</x:v>
      </x:c>
      <x:c r="B14" s="13" t="d">
        <x:v>2026-10-27T10:00:00.000Z</x:v>
      </x:c>
      <x:c r="C14" s="12" t="str">
        <x:v>WS-01</x:v>
      </x:c>
      <x:c r="D14" s="12" t="str">
        <x:v>  MAL001   </x:v>
      </x:c>
      <x:c r="E14" s="12" t="str">
        <x:f>IF(TRIM(D14)="","Thiếu mã đầu vào",_xlfn.IFNA(VLOOKUP(TRIM(D14),'Co so du lieu virus'!$A$2:$D$7,2,FALSE),"Chưa có trong danh mục"))</x:f>
        <x:v>Ransomware</x:v>
      </x:c>
      <x:c r="F14" s="12" t="str">
        <x:f>IF(TRIM(D14)="","Thiếu mã đầu vào",_xlfn.IFNA(VLOOKUP(TRIM(D14),'Co so du lieu virus'!$A$2:$D$7,3,FALSE),"Chưa có trong danh mục"))</x:f>
        <x:v>Nghiêm trọng</x:v>
      </x:c>
      <x:c r="G14" s="12" t="str">
        <x:f>IF(TRIM(D14)="","Thiếu mã đầu vào",_xlfn.IFNA(VLOOKUP(TRIM(D14),'Co so du lieu virus'!$A$2:$D$7,4,FALSE),"Chưa có trong danh mục"))</x:f>
        <x:v>Cách ly máy, bảo toàn bằng chứng</x:v>
      </x:c>
      <x:c r="H14" s="12" t="str">
        <x:v>Cách ly</x:v>
      </x:c>
      <x:c r="I14" s="12" t="str">
        <x:v>Máy đã tách mạng trong mô phỏng</x:v>
      </x:c>
      <x:c r="J14" s="2"/>
      <x:c r="K14" s="2"/>
      <x:c r="L14" s="2"/>
    </x:row>
    <x:row r="15" ht="38" customHeight="1">
      <x:c r="A15" s="12" t="str">
        <x:v>EVT-014</x:v>
      </x:c>
      <x:c r="B15" s="13" t="d">
        <x:v>2026-10-27T10:05:00.000Z</x:v>
      </x:c>
      <x:c r="C15" s="12" t="str">
        <x:v>WS-02</x:v>
      </x:c>
      <x:c r="D15" s="12" t="str">
        <x:v>MAL002</x:v>
      </x:c>
      <x:c r="E15" s="12" t="str">
        <x:f>IF(TRIM(D15)="","Thiếu mã đầu vào",_xlfn.IFNA(VLOOKUP(TRIM(D15),'Co so du lieu virus'!$A$2:$D$7,2,FALSE),"Chưa có trong danh mục"))</x:f>
        <x:v>Trojan</x:v>
      </x:c>
      <x:c r="F15" s="12" t="str">
        <x:f>IF(TRIM(D15)="","Thiếu mã đầu vào",_xlfn.IFNA(VLOOKUP(TRIM(D15),'Co so du lieu virus'!$A$2:$D$7,3,FALSE),"Chưa có trong danh mục"))</x:f>
        <x:v>Cao</x:v>
      </x:c>
      <x:c r="G15" s="12" t="str">
        <x:f>IF(TRIM(D15)="","Thiếu mã đầu vào",_xlfn.IFNA(VLOOKUP(TRIM(D15),'Co so du lieu virus'!$A$2:$D$7,4,FALSE),"Chưa có trong danh mục"))</x:f>
        <x:v>Cách ly máy, rà soát tài khoản</x:v>
      </x:c>
      <x:c r="H15" s="12" t="str">
        <x:v>Cách ly</x:v>
      </x:c>
      <x:c r="I15" s="12" t="str">
        <x:v>Máy đã tách mạng trong mô phỏng</x:v>
      </x:c>
      <x:c r="J15" s="2"/>
      <x:c r="K15" s="2"/>
      <x:c r="L15" s="2"/>
    </x:row>
    <x:row r="16" ht="38" customHeight="1">
      <x:c r="A16" s="12" t="str">
        <x:v>EVT-015</x:v>
      </x:c>
      <x:c r="B16" s="13" t="d">
        <x:v>2026-10-27T10:10:00.000Z</x:v>
      </x:c>
      <x:c r="C16" s="12" t="str">
        <x:v>WS-03</x:v>
      </x:c>
      <x:c r="D16" s="12" t="str">
        <x:v>MAL003</x:v>
      </x:c>
      <x:c r="E16" s="12" t="str">
        <x:f>IF(TRIM(D16)="","Thiếu mã đầu vào",_xlfn.IFNA(VLOOKUP(TRIM(D16),'Co so du lieu virus'!$A$2:$D$7,2,FALSE),"Chưa có trong danh mục"))</x:f>
        <x:v>Worm</x:v>
      </x:c>
      <x:c r="F16" s="12" t="str">
        <x:f>IF(TRIM(D16)="","Thiếu mã đầu vào",_xlfn.IFNA(VLOOKUP(TRIM(D16),'Co so du lieu virus'!$A$2:$D$7,3,FALSE),"Chưa có trong danh mục"))</x:f>
        <x:v>Cao</x:v>
      </x:c>
      <x:c r="G16" s="12" t="str">
        <x:f>IF(TRIM(D16)="","Thiếu mã đầu vào",_xlfn.IFNA(VLOOKUP(TRIM(D16),'Co so du lieu virus'!$A$2:$D$7,4,FALSE),"Chưa có trong danh mục"))</x:f>
        <x:v>Khoanh vùng mạng, kiểm tra lây lan</x:v>
      </x:c>
      <x:c r="H16" s="12" t="str">
        <x:v>Điều tra</x:v>
      </x:c>
      <x:c r="I16" s="12" t="str">
        <x:v>Chờ phân tích bổ sung</x:v>
      </x:c>
      <x:c r="J16" s="2"/>
      <x:c r="K16" s="2"/>
      <x:c r="L16" s="2"/>
    </x:row>
    <x:row r="17" ht="38" customHeight="1">
      <x:c r="A17" s="12" t="str">
        <x:v>EVT-016</x:v>
      </x:c>
      <x:c r="B17" s="13" t="d">
        <x:v>2026-10-27T10:15:00.000Z</x:v>
      </x:c>
      <x:c r="C17" s="12" t="str">
        <x:v>WS-04</x:v>
      </x:c>
      <x:c r="D17" s="12" t="str">
        <x:v>  MAL004   </x:v>
      </x:c>
      <x:c r="E17" s="12" t="str">
        <x:f>IF(TRIM(D17)="","Thiếu mã đầu vào",_xlfn.IFNA(VLOOKUP(TRIM(D17),'Co so du lieu virus'!$A$2:$D$7,2,FALSE),"Chưa có trong danh mục"))</x:f>
        <x:v>Spyware</x:v>
      </x:c>
      <x:c r="F17" s="12" t="str">
        <x:f>IF(TRIM(D17)="","Thiếu mã đầu vào",_xlfn.IFNA(VLOOKUP(TRIM(D17),'Co so du lieu virus'!$A$2:$D$7,3,FALSE),"Chưa có trong danh mục"))</x:f>
        <x:v>Cao</x:v>
      </x:c>
      <x:c r="G17" s="12" t="str">
        <x:f>IF(TRIM(D17)="","Thiếu mã đầu vào",_xlfn.IFNA(VLOOKUP(TRIM(D17),'Co so du lieu virus'!$A$2:$D$7,4,FALSE),"Chưa có trong danh mục"))</x:f>
        <x:v>Rà soát truy cập và dữ liệu nhạy cảm</x:v>
      </x:c>
      <x:c r="H17" s="12" t="str">
        <x:v>Điều tra</x:v>
      </x:c>
      <x:c r="I17" s="12" t="str">
        <x:v>Chờ phân tích bổ sung</x:v>
      </x:c>
      <x:c r="J17" s="2"/>
      <x:c r="K17" s="2"/>
      <x:c r="L17" s="2"/>
    </x:row>
    <x:row r="18" ht="38" customHeight="1">
      <x:c r="A18" s="12" t="str">
        <x:v>EVT-017</x:v>
      </x:c>
      <x:c r="B18" s="13" t="d">
        <x:v>2026-10-27T10:20:00.000Z</x:v>
      </x:c>
      <x:c r="C18" s="12" t="str">
        <x:v>WS-05</x:v>
      </x:c>
      <x:c r="D18" s="12" t="str">
        <x:v>MAL005</x:v>
      </x:c>
      <x:c r="E18" s="12" t="str">
        <x:f>IF(TRIM(D18)="","Thiếu mã đầu vào",_xlfn.IFNA(VLOOKUP(TRIM(D18),'Co so du lieu virus'!$A$2:$D$7,2,FALSE),"Chưa có trong danh mục"))</x:f>
        <x:v>Adware</x:v>
      </x:c>
      <x:c r="F18" s="12" t="str">
        <x:f>IF(TRIM(D18)="","Thiếu mã đầu vào",_xlfn.IFNA(VLOOKUP(TRIM(D18),'Co so du lieu virus'!$A$2:$D$7,3,FALSE),"Chưa có trong danh mục"))</x:f>
        <x:v>Trung bình</x:v>
      </x:c>
      <x:c r="G18" s="12" t="str">
        <x:f>IF(TRIM(D18)="","Thiếu mã đầu vào",_xlfn.IFNA(VLOOKUP(TRIM(D18),'Co so du lieu virus'!$A$2:$D$7,4,FALSE),"Chưa có trong danh mục"))</x:f>
        <x:v>Chặn tệp, kiểm tra phần mềm cài thêm</x:v>
      </x:c>
      <x:c r="H18" s="12" t="str">
        <x:v>Đã chặn</x:v>
      </x:c>
      <x:c r="I18" s="12" t="str">
        <x:v>Công cụ đã chặn cảnh báo</x:v>
      </x:c>
      <x:c r="J18" s="2"/>
      <x:c r="K18" s="2"/>
      <x:c r="L18" s="2"/>
    </x:row>
    <x:row r="19" ht="38" customHeight="1">
      <x:c r="A19" s="12" t="str">
        <x:v>EVT-018</x:v>
      </x:c>
      <x:c r="B19" s="13" t="d">
        <x:v>2026-10-27T10:25:00.000Z</x:v>
      </x:c>
      <x:c r="C19" s="12" t="str">
        <x:v>WS-06</x:v>
      </x:c>
      <x:c r="D19" s="12" t="str">
        <x:v>MAL006</x:v>
      </x:c>
      <x:c r="E19" s="12" t="str">
        <x:f>IF(TRIM(D19)="","Thiếu mã đầu vào",_xlfn.IFNA(VLOOKUP(TRIM(D19),'Co so du lieu virus'!$A$2:$D$7,2,FALSE),"Chưa có trong danh mục"))</x:f>
        <x:v>Downloader</x:v>
      </x:c>
      <x:c r="F19" s="12" t="str">
        <x:f>IF(TRIM(D19)="","Thiếu mã đầu vào",_xlfn.IFNA(VLOOKUP(TRIM(D19),'Co so du lieu virus'!$A$2:$D$7,3,FALSE),"Chưa có trong danh mục"))</x:f>
        <x:v>Trung bình</x:v>
      </x:c>
      <x:c r="G19" s="12" t="str">
        <x:f>IF(TRIM(D19)="","Thiếu mã đầu vào",_xlfn.IFNA(VLOOKUP(TRIM(D19),'Co so du lieu virus'!$A$2:$D$7,4,FALSE),"Chưa có trong danh mục"))</x:f>
        <x:v>Chặn tải xuống, rà soát tệp liên quan</x:v>
      </x:c>
      <x:c r="H19" s="12" t="str">
        <x:v>Đã chặn</x:v>
      </x:c>
      <x:c r="I19" s="12" t="str">
        <x:v>Công cụ đã chặn cảnh báo</x:v>
      </x:c>
      <x:c r="J19" s="2"/>
      <x:c r="K19" s="2"/>
      <x:c r="L19" s="2"/>
    </x:row>
    <x:row r="20" ht="38" customHeight="1">
      <x:c r="A20" s="12" t="str">
        <x:v>EVT-019</x:v>
      </x:c>
      <x:c r="B20" s="13" t="d">
        <x:v>2026-10-27T10:30:00.000Z</x:v>
      </x:c>
      <x:c r="C20" s="12" t="str">
        <x:v>WS-01</x:v>
      </x:c>
      <x:c r="D20" s="12" t="str">
        <x:v>  MAL001   </x:v>
      </x:c>
      <x:c r="E20" s="12" t="str">
        <x:f>IF(TRIM(D20)="","Thiếu mã đầu vào",_xlfn.IFNA(VLOOKUP(TRIM(D20),'Co so du lieu virus'!$A$2:$D$7,2,FALSE),"Chưa có trong danh mục"))</x:f>
        <x:v>Ransomware</x:v>
      </x:c>
      <x:c r="F20" s="12" t="str">
        <x:f>IF(TRIM(D20)="","Thiếu mã đầu vào",_xlfn.IFNA(VLOOKUP(TRIM(D20),'Co so du lieu virus'!$A$2:$D$7,3,FALSE),"Chưa có trong danh mục"))</x:f>
        <x:v>Nghiêm trọng</x:v>
      </x:c>
      <x:c r="G20" s="12" t="str">
        <x:f>IF(TRIM(D20)="","Thiếu mã đầu vào",_xlfn.IFNA(VLOOKUP(TRIM(D20),'Co so du lieu virus'!$A$2:$D$7,4,FALSE),"Chưa có trong danh mục"))</x:f>
        <x:v>Cách ly máy, bảo toàn bằng chứng</x:v>
      </x:c>
      <x:c r="H20" s="12" t="str">
        <x:v>Cách ly</x:v>
      </x:c>
      <x:c r="I20" s="12" t="str">
        <x:v>Máy đã tách mạng trong mô phỏng</x:v>
      </x:c>
      <x:c r="J20" s="2"/>
      <x:c r="K20" s="2"/>
      <x:c r="L20" s="2"/>
    </x:row>
    <x:row r="21" ht="38" customHeight="1">
      <x:c r="A21" s="12" t="str">
        <x:v>EVT-020</x:v>
      </x:c>
      <x:c r="B21" s="13" t="d">
        <x:v>2026-10-27T10:34:59.999Z</x:v>
      </x:c>
      <x:c r="C21" s="12" t="str">
        <x:v>WS-02</x:v>
      </x:c>
      <x:c r="D21" s="12" t="str">
        <x:v>MAL002</x:v>
      </x:c>
      <x:c r="E21" s="12" t="str">
        <x:f>IF(TRIM(D21)="","Thiếu mã đầu vào",_xlfn.IFNA(VLOOKUP(TRIM(D21),'Co so du lieu virus'!$A$2:$D$7,2,FALSE),"Chưa có trong danh mục"))</x:f>
        <x:v>Trojan</x:v>
      </x:c>
      <x:c r="F21" s="12" t="str">
        <x:f>IF(TRIM(D21)="","Thiếu mã đầu vào",_xlfn.IFNA(VLOOKUP(TRIM(D21),'Co so du lieu virus'!$A$2:$D$7,3,FALSE),"Chưa có trong danh mục"))</x:f>
        <x:v>Cao</x:v>
      </x:c>
      <x:c r="G21" s="12" t="str">
        <x:f>IF(TRIM(D21)="","Thiếu mã đầu vào",_xlfn.IFNA(VLOOKUP(TRIM(D21),'Co so du lieu virus'!$A$2:$D$7,4,FALSE),"Chưa có trong danh mục"))</x:f>
        <x:v>Cách ly máy, rà soát tài khoản</x:v>
      </x:c>
      <x:c r="H21" s="12" t="str">
        <x:v>Cách ly</x:v>
      </x:c>
      <x:c r="I21" s="12" t="str">
        <x:v>Máy đã tách mạng trong mô phỏng</x:v>
      </x:c>
      <x:c r="J21" s="2"/>
      <x:c r="K21" s="2"/>
      <x:c r="L21" s="2"/>
    </x:row>
    <x:row r="22" ht="38" customHeight="1">
      <x:c r="A22" s="12" t="str">
        <x:v>EVT-021</x:v>
      </x:c>
      <x:c r="B22" s="13" t="d">
        <x:v>2026-10-27T10:40:00.000Z</x:v>
      </x:c>
      <x:c r="C22" s="12" t="str">
        <x:v>WS-03</x:v>
      </x:c>
      <x:c r="D22" s="12" t="str">
        <x:v>MAL003</x:v>
      </x:c>
      <x:c r="E22" s="12" t="str">
        <x:f>IF(TRIM(D22)="","Thiếu mã đầu vào",_xlfn.IFNA(VLOOKUP(TRIM(D22),'Co so du lieu virus'!$A$2:$D$7,2,FALSE),"Chưa có trong danh mục"))</x:f>
        <x:v>Worm</x:v>
      </x:c>
      <x:c r="F22" s="12" t="str">
        <x:f>IF(TRIM(D22)="","Thiếu mã đầu vào",_xlfn.IFNA(VLOOKUP(TRIM(D22),'Co so du lieu virus'!$A$2:$D$7,3,FALSE),"Chưa có trong danh mục"))</x:f>
        <x:v>Cao</x:v>
      </x:c>
      <x:c r="G22" s="12" t="str">
        <x:f>IF(TRIM(D22)="","Thiếu mã đầu vào",_xlfn.IFNA(VLOOKUP(TRIM(D22),'Co so du lieu virus'!$A$2:$D$7,4,FALSE),"Chưa có trong danh mục"))</x:f>
        <x:v>Khoanh vùng mạng, kiểm tra lây lan</x:v>
      </x:c>
      <x:c r="H22" s="12" t="str">
        <x:v>Điều tra</x:v>
      </x:c>
      <x:c r="I22" s="12" t="str">
        <x:v>Chờ phân tích bổ sung</x:v>
      </x:c>
      <x:c r="J22" s="2"/>
      <x:c r="K22" s="2"/>
      <x:c r="L22" s="2"/>
    </x:row>
    <x:row r="23" ht="38" customHeight="1">
      <x:c r="A23" s="12" t="str">
        <x:v>EVT-022</x:v>
      </x:c>
      <x:c r="B23" s="13" t="d">
        <x:v>2026-10-27T10:45:00.000Z</x:v>
      </x:c>
      <x:c r="C23" s="12" t="str">
        <x:v>WS-04</x:v>
      </x:c>
      <x:c r="D23" s="12" t="str">
        <x:v>  MAL004   </x:v>
      </x:c>
      <x:c r="E23" s="12" t="str">
        <x:f>IF(TRIM(D23)="","Thiếu mã đầu vào",_xlfn.IFNA(VLOOKUP(TRIM(D23),'Co so du lieu virus'!$A$2:$D$7,2,FALSE),"Chưa có trong danh mục"))</x:f>
        <x:v>Spyware</x:v>
      </x:c>
      <x:c r="F23" s="12" t="str">
        <x:f>IF(TRIM(D23)="","Thiếu mã đầu vào",_xlfn.IFNA(VLOOKUP(TRIM(D23),'Co so du lieu virus'!$A$2:$D$7,3,FALSE),"Chưa có trong danh mục"))</x:f>
        <x:v>Cao</x:v>
      </x:c>
      <x:c r="G23" s="12" t="str">
        <x:f>IF(TRIM(D23)="","Thiếu mã đầu vào",_xlfn.IFNA(VLOOKUP(TRIM(D23),'Co so du lieu virus'!$A$2:$D$7,4,FALSE),"Chưa có trong danh mục"))</x:f>
        <x:v>Rà soát truy cập và dữ liệu nhạy cảm</x:v>
      </x:c>
      <x:c r="H23" s="12" t="str">
        <x:v>Điều tra</x:v>
      </x:c>
      <x:c r="I23" s="12" t="str">
        <x:v>Chờ phân tích bổ sung</x:v>
      </x:c>
      <x:c r="J23" s="2"/>
      <x:c r="K23" s="2"/>
      <x:c r="L23" s="2"/>
    </x:row>
    <x:row r="24" ht="38" customHeight="1">
      <x:c r="A24" s="12" t="str">
        <x:v>EVT-023</x:v>
      </x:c>
      <x:c r="B24" s="13" t="d">
        <x:v>2026-10-27T10:50:00.000Z</x:v>
      </x:c>
      <x:c r="C24" s="12" t="str">
        <x:v>WS-05</x:v>
      </x:c>
      <x:c r="D24" s="12" t="str">
        <x:v>MAL005</x:v>
      </x:c>
      <x:c r="E24" s="12" t="str">
        <x:f>IF(TRIM(D24)="","Thiếu mã đầu vào",_xlfn.IFNA(VLOOKUP(TRIM(D24),'Co so du lieu virus'!$A$2:$D$7,2,FALSE),"Chưa có trong danh mục"))</x:f>
        <x:v>Adware</x:v>
      </x:c>
      <x:c r="F24" s="12" t="str">
        <x:f>IF(TRIM(D24)="","Thiếu mã đầu vào",_xlfn.IFNA(VLOOKUP(TRIM(D24),'Co so du lieu virus'!$A$2:$D$7,3,FALSE),"Chưa có trong danh mục"))</x:f>
        <x:v>Trung bình</x:v>
      </x:c>
      <x:c r="G24" s="12" t="str">
        <x:f>IF(TRIM(D24)="","Thiếu mã đầu vào",_xlfn.IFNA(VLOOKUP(TRIM(D24),'Co so du lieu virus'!$A$2:$D$7,4,FALSE),"Chưa có trong danh mục"))</x:f>
        <x:v>Chặn tệp, kiểm tra phần mềm cài thêm</x:v>
      </x:c>
      <x:c r="H24" s="12" t="str">
        <x:v>Đã chặn</x:v>
      </x:c>
      <x:c r="I24" s="12" t="str">
        <x:v>Công cụ đã chặn cảnh báo</x:v>
      </x:c>
      <x:c r="J24" s="2"/>
      <x:c r="K24" s="2"/>
      <x:c r="L24" s="2"/>
    </x:row>
    <x:row r="25" ht="38" customHeight="1">
      <x:c r="A25" s="12" t="str">
        <x:v>EVT-024</x:v>
      </x:c>
      <x:c r="B25" s="13" t="d">
        <x:v>2026-10-27T10:55:00.000Z</x:v>
      </x:c>
      <x:c r="C25" s="12" t="str">
        <x:v>WS-06</x:v>
      </x:c>
      <x:c r="D25" s="12" t="str">
        <x:v>MAL006</x:v>
      </x:c>
      <x:c r="E25" s="12" t="str">
        <x:f>IF(TRIM(D25)="","Thiếu mã đầu vào",_xlfn.IFNA(VLOOKUP(TRIM(D25),'Co so du lieu virus'!$A$2:$D$7,2,FALSE),"Chưa có trong danh mục"))</x:f>
        <x:v>Downloader</x:v>
      </x:c>
      <x:c r="F25" s="12" t="str">
        <x:f>IF(TRIM(D25)="","Thiếu mã đầu vào",_xlfn.IFNA(VLOOKUP(TRIM(D25),'Co so du lieu virus'!$A$2:$D$7,3,FALSE),"Chưa có trong danh mục"))</x:f>
        <x:v>Trung bình</x:v>
      </x:c>
      <x:c r="G25" s="12" t="str">
        <x:f>IF(TRIM(D25)="","Thiếu mã đầu vào",_xlfn.IFNA(VLOOKUP(TRIM(D25),'Co so du lieu virus'!$A$2:$D$7,4,FALSE),"Chưa có trong danh mục"))</x:f>
        <x:v>Chặn tải xuống, rà soát tệp liên quan</x:v>
      </x:c>
      <x:c r="H25" s="12" t="str">
        <x:v>Đã chặn</x:v>
      </x:c>
      <x:c r="I25" s="12" t="str">
        <x:v>Công cụ đã chặn cảnh báo</x:v>
      </x:c>
      <x:c r="J25" s="2"/>
      <x:c r="K25" s="2"/>
      <x:c r="L25" s="2"/>
    </x:row>
    <x:row r="26" ht="38" customHeight="1">
      <x:c r="A26" s="12" t="str">
        <x:v>EVT-025</x:v>
      </x:c>
      <x:c r="B26" s="13" t="d">
        <x:v>2026-10-27T11:00:00.000Z</x:v>
      </x:c>
      <x:c r="C26" s="12" t="str">
        <x:v>WS-01</x:v>
      </x:c>
      <x:c r="D26" s="12" t="str">
        <x:v>  MAL001   </x:v>
      </x:c>
      <x:c r="E26" s="12" t="str">
        <x:f>IF(TRIM(D26)="","Thiếu mã đầu vào",_xlfn.IFNA(VLOOKUP(TRIM(D26),'Co so du lieu virus'!$A$2:$D$7,2,FALSE),"Chưa có trong danh mục"))</x:f>
        <x:v>Ransomware</x:v>
      </x:c>
      <x:c r="F26" s="12" t="str">
        <x:f>IF(TRIM(D26)="","Thiếu mã đầu vào",_xlfn.IFNA(VLOOKUP(TRIM(D26),'Co so du lieu virus'!$A$2:$D$7,3,FALSE),"Chưa có trong danh mục"))</x:f>
        <x:v>Nghiêm trọng</x:v>
      </x:c>
      <x:c r="G26" s="12" t="str">
        <x:f>IF(TRIM(D26)="","Thiếu mã đầu vào",_xlfn.IFNA(VLOOKUP(TRIM(D26),'Co so du lieu virus'!$A$2:$D$7,4,FALSE),"Chưa có trong danh mục"))</x:f>
        <x:v>Cách ly máy, bảo toàn bằng chứng</x:v>
      </x:c>
      <x:c r="H26" s="12" t="str">
        <x:v>Cách ly</x:v>
      </x:c>
      <x:c r="I26" s="12" t="str">
        <x:v>Máy đã tách mạng trong mô phỏng</x:v>
      </x:c>
      <x:c r="J26" s="2"/>
      <x:c r="K26" s="2"/>
      <x:c r="L26" s="2"/>
    </x:row>
    <x:row r="27" ht="38" customHeight="1">
      <x:c r="A27" s="12" t="str">
        <x:v>EVT-026</x:v>
      </x:c>
      <x:c r="B27" s="13" t="d">
        <x:v>2026-10-27T11:05:00.000Z</x:v>
      </x:c>
      <x:c r="C27" s="12" t="str">
        <x:v>WS-02</x:v>
      </x:c>
      <x:c r="D27" s="12" t="str">
        <x:v>MAL002</x:v>
      </x:c>
      <x:c r="E27" s="12" t="str">
        <x:f>IF(TRIM(D27)="","Thiếu mã đầu vào",_xlfn.IFNA(VLOOKUP(TRIM(D27),'Co so du lieu virus'!$A$2:$D$7,2,FALSE),"Chưa có trong danh mục"))</x:f>
        <x:v>Trojan</x:v>
      </x:c>
      <x:c r="F27" s="12" t="str">
        <x:f>IF(TRIM(D27)="","Thiếu mã đầu vào",_xlfn.IFNA(VLOOKUP(TRIM(D27),'Co so du lieu virus'!$A$2:$D$7,3,FALSE),"Chưa có trong danh mục"))</x:f>
        <x:v>Cao</x:v>
      </x:c>
      <x:c r="G27" s="12" t="str">
        <x:f>IF(TRIM(D27)="","Thiếu mã đầu vào",_xlfn.IFNA(VLOOKUP(TRIM(D27),'Co so du lieu virus'!$A$2:$D$7,4,FALSE),"Chưa có trong danh mục"))</x:f>
        <x:v>Cách ly máy, rà soát tài khoản</x:v>
      </x:c>
      <x:c r="H27" s="12" t="str">
        <x:v>Cách ly</x:v>
      </x:c>
      <x:c r="I27" s="12" t="str">
        <x:v>Máy đã tách mạng trong mô phỏng</x:v>
      </x:c>
      <x:c r="J27" s="2"/>
      <x:c r="K27" s="2"/>
      <x:c r="L27" s="2"/>
    </x:row>
    <x:row r="28" ht="38" customHeight="1">
      <x:c r="A28" s="12" t="str">
        <x:v>EVT-027</x:v>
      </x:c>
      <x:c r="B28" s="13" t="d">
        <x:v>2026-10-27T11:10:00.000Z</x:v>
      </x:c>
      <x:c r="C28" s="12" t="str">
        <x:v>WS-03</x:v>
      </x:c>
      <x:c r="D28" s="12" t="str">
        <x:v>MAL003</x:v>
      </x:c>
      <x:c r="E28" s="12" t="str">
        <x:f>IF(TRIM(D28)="","Thiếu mã đầu vào",_xlfn.IFNA(VLOOKUP(TRIM(D28),'Co so du lieu virus'!$A$2:$D$7,2,FALSE),"Chưa có trong danh mục"))</x:f>
        <x:v>Worm</x:v>
      </x:c>
      <x:c r="F28" s="12" t="str">
        <x:f>IF(TRIM(D28)="","Thiếu mã đầu vào",_xlfn.IFNA(VLOOKUP(TRIM(D28),'Co so du lieu virus'!$A$2:$D$7,3,FALSE),"Chưa có trong danh mục"))</x:f>
        <x:v>Cao</x:v>
      </x:c>
      <x:c r="G28" s="12" t="str">
        <x:f>IF(TRIM(D28)="","Thiếu mã đầu vào",_xlfn.IFNA(VLOOKUP(TRIM(D28),'Co so du lieu virus'!$A$2:$D$7,4,FALSE),"Chưa có trong danh mục"))</x:f>
        <x:v>Khoanh vùng mạng, kiểm tra lây lan</x:v>
      </x:c>
      <x:c r="H28" s="12" t="str">
        <x:v>Điều tra</x:v>
      </x:c>
      <x:c r="I28" s="12" t="str">
        <x:v>Chờ phân tích bổ sung</x:v>
      </x:c>
      <x:c r="J28" s="2"/>
      <x:c r="K28" s="2"/>
      <x:c r="L28" s="2"/>
    </x:row>
    <x:row r="29" ht="38" customHeight="1">
      <x:c r="A29" s="12" t="str">
        <x:v>EVT-028</x:v>
      </x:c>
      <x:c r="B29" s="13" t="d">
        <x:v>2026-10-27T11:15:00.000Z</x:v>
      </x:c>
      <x:c r="C29" s="12" t="str">
        <x:v>WS-07</x:v>
      </x:c>
      <x:c r="D29" s="12" t="str">
        <x:v>MAL999</x:v>
      </x:c>
      <x:c r="E29" s="12" t="str">
        <x:f>IF(TRIM(D29)="","Thiếu mã đầu vào",_xlfn.IFNA(VLOOKUP(TRIM(D29),'Co so du lieu virus'!$A$2:$D$7,2,FALSE),"Chưa có trong danh mục"))</x:f>
        <x:v>Chưa có trong danh mục</x:v>
      </x:c>
      <x:c r="F29" s="12" t="str">
        <x:f>IF(TRIM(D29)="","Thiếu mã đầu vào",_xlfn.IFNA(VLOOKUP(TRIM(D29),'Co so du lieu virus'!$A$2:$D$7,3,FALSE),"Chưa có trong danh mục"))</x:f>
        <x:v>Chưa có trong danh mục</x:v>
      </x:c>
      <x:c r="G29" s="12" t="str">
        <x:f>IF(TRIM(D29)="","Thiếu mã đầu vào",_xlfn.IFNA(VLOOKUP(TRIM(D29),'Co so du lieu virus'!$A$2:$D$7,4,FALSE),"Chưa có trong danh mục"))</x:f>
        <x:v>Chưa có trong danh mục</x:v>
      </x:c>
      <x:c r="H29" s="12" t="str">
        <x:v>Điều tra</x:v>
      </x:c>
      <x:c r="I29" s="12" t="str">
        <x:v>Mã ngoài danh mục</x:v>
      </x:c>
      <x:c r="J29" s="2"/>
      <x:c r="K29" s="2"/>
      <x:c r="L29" s="2"/>
    </x:row>
    <x:row r="30" ht="38" customHeight="1">
      <x:c r="A30" s="12" t="str">
        <x:v>EVT-029</x:v>
      </x:c>
      <x:c r="B30" s="13" t="d">
        <x:v>2026-10-27T11:19:59.999Z</x:v>
      </x:c>
      <x:c r="C30" s="12" t="str">
        <x:v>WS-07</x:v>
      </x:c>
      <x:c r="D30" s="12" t="str">
        <x:v>MAL999</x:v>
      </x:c>
      <x:c r="E30" s="12" t="str">
        <x:f>IF(TRIM(D30)="","Thiếu mã đầu vào",_xlfn.IFNA(VLOOKUP(TRIM(D30),'Co so du lieu virus'!$A$2:$D$7,2,FALSE),"Chưa có trong danh mục"))</x:f>
        <x:v>Chưa có trong danh mục</x:v>
      </x:c>
      <x:c r="F30" s="12" t="str">
        <x:f>IF(TRIM(D30)="","Thiếu mã đầu vào",_xlfn.IFNA(VLOOKUP(TRIM(D30),'Co so du lieu virus'!$A$2:$D$7,3,FALSE),"Chưa có trong danh mục"))</x:f>
        <x:v>Chưa có trong danh mục</x:v>
      </x:c>
      <x:c r="G30" s="12" t="str">
        <x:f>IF(TRIM(D30)="","Thiếu mã đầu vào",_xlfn.IFNA(VLOOKUP(TRIM(D30),'Co so du lieu virus'!$A$2:$D$7,4,FALSE),"Chưa có trong danh mục"))</x:f>
        <x:v>Chưa có trong danh mục</x:v>
      </x:c>
      <x:c r="H30" s="12" t="str">
        <x:v>Điều tra</x:v>
      </x:c>
      <x:c r="I30" s="12" t="str">
        <x:v>Mã ngoài danh mục</x:v>
      </x:c>
      <x:c r="J30" s="2"/>
      <x:c r="K30" s="2"/>
      <x:c r="L30" s="2"/>
    </x:row>
    <x:row r="31" ht="38" customHeight="1">
      <x:c r="A31" s="12" t="str">
        <x:v>EVT-030</x:v>
      </x:c>
      <x:c r="B31" s="13" t="d">
        <x:v>2026-10-27T11:25:00.000Z</x:v>
      </x:c>
      <x:c r="C31" s="12" t="str">
        <x:v>WS-08</x:v>
      </x:c>
      <x:c r="D31" s="12" t="str"/>
      <x:c r="E31" s="12" t="str">
        <x:f>IF(TRIM(D31)="","Thiếu mã đầu vào",_xlfn.IFNA(VLOOKUP(TRIM(D31),'Co so du lieu virus'!$A$2:$D$7,2,FALSE),"Chưa có trong danh mục"))</x:f>
        <x:v>Thiếu mã đầu vào</x:v>
      </x:c>
      <x:c r="F31" s="12" t="str">
        <x:f>IF(TRIM(D31)="","Thiếu mã đầu vào",_xlfn.IFNA(VLOOKUP(TRIM(D31),'Co so du lieu virus'!$A$2:$D$7,3,FALSE),"Chưa có trong danh mục"))</x:f>
        <x:v>Thiếu mã đầu vào</x:v>
      </x:c>
      <x:c r="G31" s="12" t="str">
        <x:f>IF(TRIM(D31)="","Thiếu mã đầu vào",_xlfn.IFNA(VLOOKUP(TRIM(D31),'Co so du lieu virus'!$A$2:$D$7,4,FALSE),"Chưa có trong danh mục"))</x:f>
        <x:v>Thiếu mã đầu vào</x:v>
      </x:c>
      <x:c r="H31" s="12" t="str">
        <x:v>Điều tra</x:v>
      </x:c>
      <x:c r="I31" s="12" t="str">
        <x:v>Thiếu mã đầu vào</x:v>
      </x:c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</x:sheetData>
  <x:conditionalFormatting sqref="F2:F31">
    <x:cfRule type="containsText" dxfId="1" priority="1" operator="containsText" text="Nghiêm trọng"/>
  </x:conditionalFormatting>
  <x:conditionalFormatting sqref="E2:G31">
    <x:cfRule type="containsText" dxfId="2" priority="2" operator="containsText" text="Chưa có"/>
    <x:cfRule type="containsText" dxfId="3" priority="3" operator="containsText" text="Thiếu mã"/>
  </x:conditionalFormatting>
  <x:dataValidations count="1">
    <x:dataValidation type="list" sqref="H2:H31">
      <x:formula1>"Cách ly,Điều tra,Đã 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5e3fb876f4b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43" hidden="0" customWidth="1"/>
    <x:col min="5" max="5" width="23" hidden="0" customWidth="1"/>
  </x:cols>
  <x:sheetData>
    <x:row r="1" ht="34" customHeight="1">
      <x:c r="A1" s="8" t="str">
        <x:v>Mã độc</x:v>
      </x:c>
      <x:c r="B1" s="8" t="str">
        <x:v>Loại mã độc</x:v>
      </x:c>
      <x:c r="C1" s="8" t="str">
        <x:v>Mức độ</x:v>
      </x:c>
      <x:c r="D1" s="8" t="str">
        <x:v>Xử lý đề xuất</x:v>
      </x:c>
      <x:c r="E1" s="8" t="str">
        <x:v>Số lần mã xuất hiện</x:v>
      </x:c>
      <x:c r="F1" s="2"/>
      <x:c r="G1" s="2"/>
      <x:c r="H1" s="2"/>
      <x:c r="I1" s="2"/>
      <x:c r="J1" s="2"/>
      <x:c r="K1" s="2"/>
      <x:c r="L1" s="2"/>
    </x:row>
    <x:row r="2" ht="40" customHeight="1">
      <x:c r="A2" s="12" t="str">
        <x:v>MAL001</x:v>
      </x:c>
      <x:c r="B2" s="12" t="str">
        <x:v>Ransomware</x:v>
      </x:c>
      <x:c r="C2" s="12" t="str">
        <x:v>Nghiêm trọng</x:v>
      </x:c>
      <x:c r="D2" s="12" t="str">
        <x:v>Cách ly máy, bảo toàn bằng chứng</x:v>
      </x:c>
      <x:c r="E2" s="12" t="n">
        <x:f>COUNTIF($A$2:$A$7,A2)</x:f>
        <x:v>1</x:v>
      </x:c>
      <x:c r="F2" s="2"/>
      <x:c r="G2" s="2"/>
      <x:c r="H2" s="2"/>
      <x:c r="I2" s="2"/>
      <x:c r="J2" s="2"/>
      <x:c r="K2" s="2"/>
      <x:c r="L2" s="2"/>
    </x:row>
    <x:row r="3" ht="40" customHeight="1">
      <x:c r="A3" s="12" t="str">
        <x:v>MAL002</x:v>
      </x:c>
      <x:c r="B3" s="12" t="str">
        <x:v>Trojan</x:v>
      </x:c>
      <x:c r="C3" s="12" t="str">
        <x:v>Cao</x:v>
      </x:c>
      <x:c r="D3" s="12" t="str">
        <x:v>Cách ly máy, rà soát tài khoản</x:v>
      </x:c>
      <x:c r="E3" s="12" t="n">
        <x:f>COUNTIF($A$2:$A$7,A3)</x:f>
        <x:v>1</x:v>
      </x:c>
      <x:c r="F3" s="2"/>
      <x:c r="G3" s="2"/>
      <x:c r="H3" s="2"/>
      <x:c r="I3" s="2"/>
      <x:c r="J3" s="2"/>
      <x:c r="K3" s="2"/>
      <x:c r="L3" s="2"/>
    </x:row>
    <x:row r="4" ht="40" customHeight="1">
      <x:c r="A4" s="12" t="str">
        <x:v>MAL003</x:v>
      </x:c>
      <x:c r="B4" s="12" t="str">
        <x:v>Worm</x:v>
      </x:c>
      <x:c r="C4" s="12" t="str">
        <x:v>Cao</x:v>
      </x:c>
      <x:c r="D4" s="12" t="str">
        <x:v>Khoanh vùng mạng, kiểm tra lây lan</x:v>
      </x:c>
      <x:c r="E4" s="12" t="n">
        <x:f>COUNTIF($A$2:$A$7,A4)</x:f>
        <x:v>1</x:v>
      </x:c>
      <x:c r="F4" s="2"/>
      <x:c r="G4" s="2"/>
      <x:c r="H4" s="2"/>
      <x:c r="I4" s="2"/>
      <x:c r="J4" s="2"/>
      <x:c r="K4" s="2"/>
      <x:c r="L4" s="2"/>
    </x:row>
    <x:row r="5" ht="40" customHeight="1">
      <x:c r="A5" s="12" t="str">
        <x:v>MAL004</x:v>
      </x:c>
      <x:c r="B5" s="12" t="str">
        <x:v>Spyware</x:v>
      </x:c>
      <x:c r="C5" s="12" t="str">
        <x:v>Cao</x:v>
      </x:c>
      <x:c r="D5" s="12" t="str">
        <x:v>Rà soát truy cập và dữ liệu nhạy cảm</x:v>
      </x:c>
      <x:c r="E5" s="12" t="n">
        <x:f>COUNTIF($A$2:$A$7,A5)</x:f>
        <x:v>1</x:v>
      </x:c>
      <x:c r="F5" s="2"/>
      <x:c r="G5" s="2"/>
      <x:c r="H5" s="2"/>
      <x:c r="I5" s="2"/>
      <x:c r="J5" s="2"/>
      <x:c r="K5" s="2"/>
      <x:c r="L5" s="2"/>
    </x:row>
    <x:row r="6" ht="40" customHeight="1">
      <x:c r="A6" s="12" t="str">
        <x:v>MAL005</x:v>
      </x:c>
      <x:c r="B6" s="12" t="str">
        <x:v>Adware</x:v>
      </x:c>
      <x:c r="C6" s="12" t="str">
        <x:v>Trung bình</x:v>
      </x:c>
      <x:c r="D6" s="12" t="str">
        <x:v>Chặn tệp, kiểm tra phần mềm cài thêm</x:v>
      </x:c>
      <x:c r="E6" s="12" t="n">
        <x:f>COUNTIF($A$2:$A$7,A6)</x:f>
        <x:v>1</x:v>
      </x:c>
      <x:c r="F6" s="2"/>
      <x:c r="G6" s="2"/>
      <x:c r="H6" s="2"/>
      <x:c r="I6" s="2"/>
      <x:c r="J6" s="2"/>
      <x:c r="K6" s="2"/>
      <x:c r="L6" s="2"/>
    </x:row>
    <x:row r="7" ht="40" customHeight="1">
      <x:c r="A7" s="12" t="str">
        <x:v>MAL006</x:v>
      </x:c>
      <x:c r="B7" s="12" t="str">
        <x:v>Downloader</x:v>
      </x:c>
      <x:c r="C7" s="12" t="str">
        <x:v>Trung bình</x:v>
      </x:c>
      <x:c r="D7" s="12" t="str">
        <x:v>Chặn tải xuống, rà soát tệp liên quan</x:v>
      </x:c>
      <x:c r="E7" s="12" t="n">
        <x:f>COUNTIF($A$2:$A$7,A7)</x:f>
        <x:v>1</x:v>
      </x:c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>
      <x:c r="A10" s="2" t="str">
        <x:v>Danh mục giả lập. MAL001–MAL006 là mã nội bộ của bài tập.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>
      <x:c r="A11" s="2" t="str">
        <x:v>Mã phải là văn bản, không khoảng trắng thừa, không trùng lặp.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>
      <x:c r="A12" s="2" t="str">
        <x:v>VLOOKUP tìm trong cột A, trả kết quả về từ B, C hoặc D.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 t="str">
        <x:v>Sau khi thêm mã, mở rộng Table và vùng $A$2:$D$7 trong công thức nhật ký.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 t="str">
        <x:v>Cột E kiểm tra trùng mã. Giá trị hợp lệ là 1.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</x:sheetData>
  <x:conditionalFormatting sqref="E2:E7">
    <x:cfRule type="cellIs" dxfId="4" priority="1" operator="greaterThan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ae04226ef84fef"/>
  </x:tableParts>
</x:worksheet>
</file>